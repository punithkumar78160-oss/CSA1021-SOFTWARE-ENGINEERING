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8_{A1DA0426-5247-4865-9F21-CC3B500A477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SCoW Analysis" sheetId="1" r:id="rId1"/>
    <sheet name="Summary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E7" i="2"/>
  <c r="D7" i="2"/>
  <c r="C7" i="2"/>
  <c r="E6" i="2"/>
  <c r="D6" i="2"/>
  <c r="C6" i="2"/>
  <c r="E5" i="2"/>
  <c r="D5" i="2"/>
  <c r="C5" i="2"/>
  <c r="E4" i="2"/>
  <c r="D4" i="2"/>
  <c r="C4" i="2"/>
  <c r="C8" i="2" l="1"/>
</calcChain>
</file>

<file path=xl/sharedStrings.xml><?xml version="1.0" encoding="utf-8"?>
<sst xmlns="http://schemas.openxmlformats.org/spreadsheetml/2006/main" count="101" uniqueCount="85">
  <si>
    <t>ID</t>
  </si>
  <si>
    <t>Requirement</t>
  </si>
  <si>
    <t>MoSCoW Category</t>
  </si>
  <si>
    <t>Impact on Users &amp; Stakeholders (1-5)</t>
  </si>
  <si>
    <t>Feasibility: Time / Budget / Resources (1-5)</t>
  </si>
  <si>
    <t>Priority Score</t>
  </si>
  <si>
    <t>Impact Rationale</t>
  </si>
  <si>
    <t>Feasibility Rationale</t>
  </si>
  <si>
    <t>Justification for Category</t>
  </si>
  <si>
    <t>Suggested Release</t>
  </si>
  <si>
    <t>R1</t>
  </si>
  <si>
    <t>Search books by title and author</t>
  </si>
  <si>
    <t>Must-Have</t>
  </si>
  <si>
    <t>Every member and librarian needs to find books; it is the most frequent action in the system.</t>
  </si>
  <si>
    <t>Standard database query/indexing; low effort, no extra cost or third-party tools.</t>
  </si>
  <si>
    <t>Without search, the catalog is unusable. High impact and very easy to build, so it is core to the MVP.</t>
  </si>
  <si>
    <t>Release 1 (MVP)</t>
  </si>
  <si>
    <t>R2</t>
  </si>
  <si>
    <t>Online book reservation system</t>
  </si>
  <si>
    <t>Lets members reserve borrowed or popular books remotely; reduces queues and manual work for staff.</t>
  </si>
  <si>
    <t>Needs reservation queue and availability logic, but is a well-understood web feature within normal budget.</t>
  </si>
  <si>
    <t>Online access is a central purpose of a modern library system and a key stakeholder expectation.</t>
  </si>
  <si>
    <t>R3</t>
  </si>
  <si>
    <t>Monthly borrowed-books reports for administrators</t>
  </si>
  <si>
    <t>Should-Have</t>
  </si>
  <si>
    <t>Supports collection planning, budgeting and usage audits; not needed for daily circulation.</t>
  </si>
  <si>
    <t>Aggregation queries plus export (PDF/Excel); moderate effort once borrowing data exists.</t>
  </si>
  <si>
    <t>Important to administrators, but the system can run without it at launch. Can be done manually at first.</t>
  </si>
  <si>
    <t>Release 2</t>
  </si>
  <si>
    <t>R4</t>
  </si>
  <si>
    <t>Email notifications for overdue books</t>
  </si>
  <si>
    <t>Improves on-time returns and reduces lost books and manual follow-up calls.</t>
  </si>
  <si>
    <t>Needs scheduled jobs and an email service (SMTP/SendGrid); low recurring cost.</t>
  </si>
  <si>
    <t>High value and affordable, but staff can send reminders manually in the short term.</t>
  </si>
  <si>
    <t>R5</t>
  </si>
  <si>
    <t>QR code scanning for borrowing and returning</t>
  </si>
  <si>
    <t>Could-Have</t>
  </si>
  <si>
    <t>Speeds up checkout and cuts errors, but barcode/manual entry already achieves the same result.</t>
  </si>
  <si>
    <t>Needs QR generation/labelling for all books, scanners or camera integration; moderate cost and rollout effort.</t>
  </si>
  <si>
    <t>A nice efficiency gain, not essential. Add if time and budget remain after core features.</t>
  </si>
  <si>
    <t>Release 3</t>
  </si>
  <si>
    <t>R6</t>
  </si>
  <si>
    <t>User-friendly dashboard for librarians</t>
  </si>
  <si>
    <t>Librarians use it daily to manage books, members, loans and reservations; poor UX hurts adoption.</t>
  </si>
  <si>
    <t>Standard web UI work using common frameworks; achievable with the core team.</t>
  </si>
  <si>
    <t>It is the main interface for the primary operators, so it must exist and be usable from day one.</t>
  </si>
  <si>
    <t>R7</t>
  </si>
  <si>
    <t>Allow users to review and rate books</t>
  </si>
  <si>
    <t>Increases engagement and helps readers choose books, but does not affect core operations.</t>
  </si>
  <si>
    <t>Simple CRUD plus average-rating calculation; low effort, but needs basic moderation.</t>
  </si>
  <si>
    <t>Desirable community feature with easy build, yet no stakeholder depends on it. Deferred behind core needs.</t>
  </si>
  <si>
    <t>R8</t>
  </si>
  <si>
    <t>Integrate a chatbot for user assistance</t>
  </si>
  <si>
    <t>Won't-Have</t>
  </si>
  <si>
    <t>Helpful for FAQs, but search and a clear UI cover most user needs; limited incremental impact.</t>
  </si>
  <si>
    <t>Requires NLP/AI integration, training content, ongoing tuning and possibly licensing; high cost and effort.</t>
  </si>
  <si>
    <t>Low impact relative to cost and complexity. Excluded from this release; revisit later.</t>
  </si>
  <si>
    <t>Future (not this release)</t>
  </si>
  <si>
    <t>R9</t>
  </si>
  <si>
    <t>Develop a mobile app version</t>
  </si>
  <si>
    <t>Convenient for members, but a responsive web app already provides mobile access.</t>
  </si>
  <si>
    <t>Separate iOS/Android development, app-store processes and extra maintenance; largest budget and time demand.</t>
  </si>
  <si>
    <t>Impact is real but feasibility is poor within current constraints. Deliver a mobile-responsive website now; native app later.</t>
  </si>
  <si>
    <t>R10</t>
  </si>
  <si>
    <t>Multi-language support</t>
  </si>
  <si>
    <t>Valuable for diverse communities, but only if the user base needs it; unclear demand for launch.</t>
  </si>
  <si>
    <t>Needs internationalization framework and translations; moderate effort, easier if planned from the start.</t>
  </si>
  <si>
    <t>Beneficial but not critical. Build text with i18n-ready structure in MVP and add languages later.</t>
  </si>
  <si>
    <t>MoSCoW Summary</t>
  </si>
  <si>
    <t>Category</t>
  </si>
  <si>
    <t>Meaning</t>
  </si>
  <si>
    <t>Count</t>
  </si>
  <si>
    <t>Avg Impact</t>
  </si>
  <si>
    <t>Avg Feasibility</t>
  </si>
  <si>
    <t>Critical for launch; the system fails without it.</t>
  </si>
  <si>
    <t>Important and valuable, but not vital for launch; workarounds exist.</t>
  </si>
  <si>
    <t>Desirable if time and budget allow; low impact if left out.</t>
  </si>
  <si>
    <t>Agreed to be out of scope for this release; revisit later.</t>
  </si>
  <si>
    <t>Total</t>
  </si>
  <si>
    <t>Scoring guide</t>
  </si>
  <si>
    <t>• Impact (1-5): value to members, librarians and administrators (5 = essential to daily operations).</t>
  </si>
  <si>
    <t>• Feasibility (1-5): ease of delivery given time, budget and team resources (5 = quick, low cost; 1 = very costly or complex).</t>
  </si>
  <si>
    <t>• Priority Score = weighted average of Impact and Feasibility (weights editable on the analysis sheet).</t>
  </si>
  <si>
    <t>• Category is a judgment call guided by the score: high impact + high feasibility = Must; high impact but harder/less urgent = Should; moderate = Could; low feasibility or low value for now = Won't (this release).</t>
  </si>
  <si>
    <t>• Assumption: a small team and limited budget; a mobile-responsive website is assumed to cover mobile needs for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</si>
</sst>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  <fill>
      <patternFill patternType="solid">
        <fgColor theme="0"/>
        <bgColor rgb="FFFFE699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6" fillId="0" borderId="0" xfId="0" applyFont="1"/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showGridLines="0" tabSelected="1" zoomScaleNormal="100" workbookViewId="0">
      <pane xSplit="2" ySplit="1" topLeftCell="C3" activePane="bottomRight" state="frozen"/>
      <selection pane="topRight" activeCell="C1" sqref="C1"/>
      <selection pane="bottomLeft" activeCell="A6" sqref="A6"/>
      <selection pane="bottomRight" activeCell="D1" sqref="D1:D1048576"/>
    </sheetView>
  </sheetViews>
  <sheetFormatPr defaultColWidth="8.6640625" defaultRowHeight="14.4" x14ac:dyDescent="0.3"/>
  <cols>
    <col min="1" max="1" width="6" customWidth="1"/>
    <col min="2" max="2" width="30" customWidth="1"/>
    <col min="3" max="4" width="16" customWidth="1"/>
    <col min="5" max="5" width="18" customWidth="1"/>
    <col min="6" max="6" width="11" customWidth="1"/>
    <col min="7" max="8" width="42" customWidth="1"/>
    <col min="9" max="9" width="46" customWidth="1"/>
    <col min="10" max="10" width="18" customWidth="1"/>
  </cols>
  <sheetData>
    <row r="1" spans="1:10" ht="48" customHeight="1" x14ac:dyDescent="0.3">
      <c r="A1" s="4" t="s">
        <v>0</v>
      </c>
      <c r="B1" s="4" t="s">
        <v>1</v>
      </c>
      <c r="C1" s="4" t="s">
        <v>2</v>
      </c>
      <c r="D1" s="20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90" customHeight="1" x14ac:dyDescent="0.3">
      <c r="A2" s="5" t="s">
        <v>10</v>
      </c>
      <c r="B2" s="6" t="s">
        <v>11</v>
      </c>
      <c r="C2" s="16" t="s">
        <v>12</v>
      </c>
      <c r="D2" s="7">
        <v>5</v>
      </c>
      <c r="E2" s="7">
        <v>5</v>
      </c>
      <c r="F2" s="5" t="e">
        <f>ROUND(#REF!*D2+#REF!*E2,1)</f>
        <v>#REF!</v>
      </c>
      <c r="G2" s="6" t="s">
        <v>13</v>
      </c>
      <c r="H2" s="6" t="s">
        <v>14</v>
      </c>
      <c r="I2" s="6" t="s">
        <v>15</v>
      </c>
      <c r="J2" s="6" t="s">
        <v>16</v>
      </c>
    </row>
    <row r="3" spans="1:10" ht="90" customHeight="1" x14ac:dyDescent="0.3">
      <c r="A3" s="5" t="s">
        <v>17</v>
      </c>
      <c r="B3" s="6" t="s">
        <v>18</v>
      </c>
      <c r="C3" s="16" t="s">
        <v>12</v>
      </c>
      <c r="D3" s="7">
        <v>5</v>
      </c>
      <c r="E3" s="7">
        <v>4</v>
      </c>
      <c r="F3" s="5" t="e">
        <f>ROUND(#REF!*D3+#REF!*E3,1)</f>
        <v>#REF!</v>
      </c>
      <c r="G3" s="6" t="s">
        <v>19</v>
      </c>
      <c r="H3" s="6" t="s">
        <v>20</v>
      </c>
      <c r="I3" s="6" t="s">
        <v>21</v>
      </c>
      <c r="J3" s="6" t="s">
        <v>16</v>
      </c>
    </row>
    <row r="4" spans="1:10" ht="90" customHeight="1" x14ac:dyDescent="0.3">
      <c r="A4" s="5" t="s">
        <v>22</v>
      </c>
      <c r="B4" s="6" t="s">
        <v>23</v>
      </c>
      <c r="C4" s="17" t="s">
        <v>24</v>
      </c>
      <c r="D4" s="7">
        <v>4</v>
      </c>
      <c r="E4" s="7">
        <v>4</v>
      </c>
      <c r="F4" s="5" t="e">
        <f>ROUND(#REF!*D4+#REF!*E4,1)</f>
        <v>#REF!</v>
      </c>
      <c r="G4" s="6" t="s">
        <v>25</v>
      </c>
      <c r="H4" s="6" t="s">
        <v>26</v>
      </c>
      <c r="I4" s="6" t="s">
        <v>27</v>
      </c>
      <c r="J4" s="6" t="s">
        <v>28</v>
      </c>
    </row>
    <row r="5" spans="1:10" ht="90" customHeight="1" x14ac:dyDescent="0.3">
      <c r="A5" s="5" t="s">
        <v>29</v>
      </c>
      <c r="B5" s="6" t="s">
        <v>30</v>
      </c>
      <c r="C5" s="17" t="s">
        <v>24</v>
      </c>
      <c r="D5" s="7">
        <v>4</v>
      </c>
      <c r="E5" s="7">
        <v>4</v>
      </c>
      <c r="F5" s="5" t="e">
        <f>ROUND(#REF!*D5+#REF!*E5,1)</f>
        <v>#REF!</v>
      </c>
      <c r="G5" s="6" t="s">
        <v>31</v>
      </c>
      <c r="H5" s="6" t="s">
        <v>32</v>
      </c>
      <c r="I5" s="6" t="s">
        <v>33</v>
      </c>
      <c r="J5" s="6" t="s">
        <v>28</v>
      </c>
    </row>
    <row r="6" spans="1:10" ht="90" customHeight="1" x14ac:dyDescent="0.3">
      <c r="A6" s="5" t="s">
        <v>34</v>
      </c>
      <c r="B6" s="6" t="s">
        <v>35</v>
      </c>
      <c r="C6" s="18" t="s">
        <v>36</v>
      </c>
      <c r="D6" s="7">
        <v>3</v>
      </c>
      <c r="E6" s="7">
        <v>3</v>
      </c>
      <c r="F6" s="5" t="e">
        <f>ROUND(#REF!*D6+#REF!*E6,1)</f>
        <v>#REF!</v>
      </c>
      <c r="G6" s="6" t="s">
        <v>37</v>
      </c>
      <c r="H6" s="6" t="s">
        <v>38</v>
      </c>
      <c r="I6" s="6" t="s">
        <v>39</v>
      </c>
      <c r="J6" s="6" t="s">
        <v>40</v>
      </c>
    </row>
    <row r="7" spans="1:10" ht="90" customHeight="1" x14ac:dyDescent="0.3">
      <c r="A7" s="5" t="s">
        <v>41</v>
      </c>
      <c r="B7" s="6" t="s">
        <v>42</v>
      </c>
      <c r="C7" s="16" t="s">
        <v>12</v>
      </c>
      <c r="D7" s="7">
        <v>5</v>
      </c>
      <c r="E7" s="7">
        <v>4</v>
      </c>
      <c r="F7" s="5" t="e">
        <f>ROUND(#REF!*D7+#REF!*E7,1)</f>
        <v>#REF!</v>
      </c>
      <c r="G7" s="6" t="s">
        <v>43</v>
      </c>
      <c r="H7" s="6" t="s">
        <v>44</v>
      </c>
      <c r="I7" s="6" t="s">
        <v>45</v>
      </c>
      <c r="J7" s="6" t="s">
        <v>16</v>
      </c>
    </row>
    <row r="8" spans="1:10" ht="90" customHeight="1" x14ac:dyDescent="0.3">
      <c r="A8" s="5" t="s">
        <v>46</v>
      </c>
      <c r="B8" s="6" t="s">
        <v>47</v>
      </c>
      <c r="C8" s="18" t="s">
        <v>36</v>
      </c>
      <c r="D8" s="7">
        <v>3</v>
      </c>
      <c r="E8" s="7">
        <v>4</v>
      </c>
      <c r="F8" s="5" t="e">
        <f>ROUND(#REF!*D8+#REF!*E8,1)</f>
        <v>#REF!</v>
      </c>
      <c r="G8" s="6" t="s">
        <v>48</v>
      </c>
      <c r="H8" s="6" t="s">
        <v>49</v>
      </c>
      <c r="I8" s="6" t="s">
        <v>50</v>
      </c>
      <c r="J8" s="6" t="s">
        <v>40</v>
      </c>
    </row>
    <row r="9" spans="1:10" ht="90" customHeight="1" x14ac:dyDescent="0.3">
      <c r="A9" s="5" t="s">
        <v>51</v>
      </c>
      <c r="B9" s="6" t="s">
        <v>52</v>
      </c>
      <c r="C9" s="19" t="s">
        <v>53</v>
      </c>
      <c r="D9" s="7">
        <v>2</v>
      </c>
      <c r="E9" s="7">
        <v>2</v>
      </c>
      <c r="F9" s="5" t="e">
        <f>ROUND(#REF!*D9+#REF!*E9,1)</f>
        <v>#REF!</v>
      </c>
      <c r="G9" s="6" t="s">
        <v>54</v>
      </c>
      <c r="H9" s="6" t="s">
        <v>55</v>
      </c>
      <c r="I9" s="6" t="s">
        <v>56</v>
      </c>
      <c r="J9" s="6" t="s">
        <v>57</v>
      </c>
    </row>
    <row r="10" spans="1:10" ht="90" customHeight="1" x14ac:dyDescent="0.3">
      <c r="A10" s="5" t="s">
        <v>58</v>
      </c>
      <c r="B10" s="6" t="s">
        <v>59</v>
      </c>
      <c r="C10" s="19" t="s">
        <v>53</v>
      </c>
      <c r="D10" s="7">
        <v>4</v>
      </c>
      <c r="E10" s="7">
        <v>1</v>
      </c>
      <c r="F10" s="5" t="e">
        <f>ROUND(#REF!*D10+#REF!*E10,1)</f>
        <v>#REF!</v>
      </c>
      <c r="G10" s="6" t="s">
        <v>60</v>
      </c>
      <c r="H10" s="6" t="s">
        <v>61</v>
      </c>
      <c r="I10" s="6" t="s">
        <v>62</v>
      </c>
      <c r="J10" s="6" t="s">
        <v>57</v>
      </c>
    </row>
    <row r="11" spans="1:10" ht="90" customHeight="1" x14ac:dyDescent="0.3">
      <c r="A11" s="5" t="s">
        <v>63</v>
      </c>
      <c r="B11" s="6" t="s">
        <v>64</v>
      </c>
      <c r="C11" s="18" t="s">
        <v>36</v>
      </c>
      <c r="D11" s="7">
        <v>3</v>
      </c>
      <c r="E11" s="7">
        <v>3</v>
      </c>
      <c r="F11" s="5" t="e">
        <f>ROUND(#REF!*D11+#REF!*E11,1)</f>
        <v>#REF!</v>
      </c>
      <c r="G11" s="6" t="s">
        <v>65</v>
      </c>
      <c r="H11" s="6" t="s">
        <v>66</v>
      </c>
      <c r="I11" s="6" t="s">
        <v>67</v>
      </c>
      <c r="J11" s="6" t="s">
        <v>40</v>
      </c>
    </row>
  </sheetData>
  <dataValidations count="2">
    <dataValidation type="list" sqref="C2:C11" xr:uid="{00000000-0002-0000-0000-000000000000}">
      <formula1>"Must-Have,Should-Have,Could-Have,Won't-Have"</formula1>
      <formula2>0</formula2>
    </dataValidation>
    <dataValidation type="whole" sqref="D2:E11" xr:uid="{00000000-0002-0000-0000-000001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zoomScaleNormal="100" workbookViewId="0"/>
  </sheetViews>
  <sheetFormatPr defaultColWidth="8.6640625" defaultRowHeight="14.4" x14ac:dyDescent="0.3"/>
  <cols>
    <col min="1" max="1" width="16" customWidth="1"/>
    <col min="2" max="2" width="58" customWidth="1"/>
    <col min="3" max="3" width="10" customWidth="1"/>
    <col min="4" max="4" width="13" customWidth="1"/>
    <col min="5" max="5" width="16" customWidth="1"/>
  </cols>
  <sheetData>
    <row r="1" spans="1:5" ht="17.399999999999999" x14ac:dyDescent="0.3">
      <c r="A1" s="2" t="s">
        <v>68</v>
      </c>
    </row>
    <row r="3" spans="1:5" x14ac:dyDescent="0.3">
      <c r="A3" s="8" t="s">
        <v>69</v>
      </c>
      <c r="B3" s="8" t="s">
        <v>70</v>
      </c>
      <c r="C3" s="8" t="s">
        <v>71</v>
      </c>
      <c r="D3" s="8" t="s">
        <v>72</v>
      </c>
      <c r="E3" s="8" t="s">
        <v>73</v>
      </c>
    </row>
    <row r="4" spans="1:5" ht="30" customHeight="1" x14ac:dyDescent="0.3">
      <c r="A4" s="9" t="s">
        <v>12</v>
      </c>
      <c r="B4" s="10" t="s">
        <v>74</v>
      </c>
      <c r="C4" s="10">
        <f>COUNTIF('MoSCoW Analysis'!$C$2:$C$11,A4)</f>
        <v>3</v>
      </c>
      <c r="D4" s="11">
        <f>IFERROR(AVERAGEIF('MoSCoW Analysis'!$C$2:$C$11,A4,'MoSCoW Analysis'!$D$2:$D$11),0)</f>
        <v>5</v>
      </c>
      <c r="E4" s="11">
        <f>IFERROR(AVERAGEIF('MoSCoW Analysis'!$C$2:$C$11,A4,'MoSCoW Analysis'!$E$2:$E$11),0)</f>
        <v>4.333333333333333</v>
      </c>
    </row>
    <row r="5" spans="1:5" ht="30" customHeight="1" x14ac:dyDescent="0.3">
      <c r="A5" s="12" t="s">
        <v>24</v>
      </c>
      <c r="B5" s="10" t="s">
        <v>75</v>
      </c>
      <c r="C5" s="10">
        <f>COUNTIF('MoSCoW Analysis'!$C$2:$C$11,A5)</f>
        <v>2</v>
      </c>
      <c r="D5" s="11">
        <f>IFERROR(AVERAGEIF('MoSCoW Analysis'!$C$2:$C$11,A5,'MoSCoW Analysis'!$D$2:$D$11),0)</f>
        <v>4</v>
      </c>
      <c r="E5" s="11">
        <f>IFERROR(AVERAGEIF('MoSCoW Analysis'!$C$2:$C$11,A5,'MoSCoW Analysis'!$E$2:$E$11),0)</f>
        <v>4</v>
      </c>
    </row>
    <row r="6" spans="1:5" ht="30" customHeight="1" x14ac:dyDescent="0.3">
      <c r="A6" s="13" t="s">
        <v>36</v>
      </c>
      <c r="B6" s="10" t="s">
        <v>76</v>
      </c>
      <c r="C6" s="10">
        <f>COUNTIF('MoSCoW Analysis'!$C$2:$C$11,A6)</f>
        <v>3</v>
      </c>
      <c r="D6" s="11">
        <f>IFERROR(AVERAGEIF('MoSCoW Analysis'!$C$2:$C$11,A6,'MoSCoW Analysis'!$D$2:$D$11),0)</f>
        <v>3</v>
      </c>
      <c r="E6" s="11">
        <f>IFERROR(AVERAGEIF('MoSCoW Analysis'!$C$2:$C$11,A6,'MoSCoW Analysis'!$E$2:$E$11),0)</f>
        <v>3.3333333333333335</v>
      </c>
    </row>
    <row r="7" spans="1:5" ht="30" customHeight="1" x14ac:dyDescent="0.3">
      <c r="A7" s="14" t="s">
        <v>53</v>
      </c>
      <c r="B7" s="10" t="s">
        <v>77</v>
      </c>
      <c r="C7" s="10">
        <f>COUNTIF('MoSCoW Analysis'!$C$2:$C$11,A7)</f>
        <v>2</v>
      </c>
      <c r="D7" s="11">
        <f>IFERROR(AVERAGEIF('MoSCoW Analysis'!$C$2:$C$11,A7,'MoSCoW Analysis'!$D$2:$D$11),0)</f>
        <v>3</v>
      </c>
      <c r="E7" s="11">
        <f>IFERROR(AVERAGEIF('MoSCoW Analysis'!$C$2:$C$11,A7,'MoSCoW Analysis'!$E$2:$E$11),0)</f>
        <v>1.5</v>
      </c>
    </row>
    <row r="8" spans="1:5" x14ac:dyDescent="0.3">
      <c r="A8" s="3" t="s">
        <v>78</v>
      </c>
      <c r="C8" s="3">
        <f>SUM(C4:C7)</f>
        <v>10</v>
      </c>
    </row>
    <row r="10" spans="1:5" x14ac:dyDescent="0.3">
      <c r="A10" s="15" t="s">
        <v>79</v>
      </c>
    </row>
    <row r="11" spans="1:5" ht="31.5" customHeight="1" x14ac:dyDescent="0.3">
      <c r="A11" s="1" t="s">
        <v>80</v>
      </c>
      <c r="B11" s="1"/>
      <c r="C11" s="1"/>
      <c r="D11" s="1"/>
      <c r="E11" s="1"/>
    </row>
    <row r="12" spans="1:5" ht="31.5" customHeight="1" x14ac:dyDescent="0.3">
      <c r="A12" s="1" t="s">
        <v>81</v>
      </c>
      <c r="B12" s="1"/>
      <c r="C12" s="1"/>
      <c r="D12" s="1"/>
      <c r="E12" s="1"/>
    </row>
    <row r="13" spans="1:5" ht="31.5" customHeight="1" x14ac:dyDescent="0.3">
      <c r="A13" s="1" t="s">
        <v>82</v>
      </c>
      <c r="B13" s="1"/>
      <c r="C13" s="1"/>
      <c r="D13" s="1"/>
      <c r="E13" s="1"/>
    </row>
    <row r="14" spans="1:5" ht="31.5" customHeight="1" x14ac:dyDescent="0.3">
      <c r="A14" s="1" t="s">
        <v>83</v>
      </c>
      <c r="B14" s="1"/>
      <c r="C14" s="1"/>
      <c r="D14" s="1"/>
      <c r="E14" s="1"/>
    </row>
    <row r="15" spans="1:5" ht="31.5" customHeight="1" x14ac:dyDescent="0.3">
      <c r="A15" s="1" t="s">
        <v>84</v>
      </c>
      <c r="B15" s="1"/>
      <c r="C15" s="1"/>
      <c r="D15" s="1"/>
      <c r="E15" s="1"/>
    </row>
  </sheetData>
  <mergeCells count="5">
    <mergeCell ref="A11:E11"/>
    <mergeCell ref="A12:E12"/>
    <mergeCell ref="A13:E13"/>
    <mergeCell ref="A14:E14"/>
    <mergeCell ref="A15:E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MoSCoW 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N.Punith Kumar</cp:lastModifiedBy>
  <cp:revision>0</cp:revision>
  <dcterms:created xsi:type="dcterms:W3CDTF">2026-10-29T04:19:54Z</dcterms:created>
  <dcterms:modified xsi:type="dcterms:W3CDTF">2026-10-29T04:26:40Z</dcterms:modified>
  <dc:language>en-US</dc:language>
</cp:coreProperties>
</file>